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hrafique_uiowa_edu/Documents/FALL 24/Visual Analytics 6040/Notes/Module 3 - Data Basics and Manipulation in Tableau/"/>
    </mc:Choice>
  </mc:AlternateContent>
  <xr:revisionPtr revIDLastSave="42" documentId="8_{315B6A29-48C9-4ED5-8338-D337DC3239AC}" xr6:coauthVersionLast="47" xr6:coauthVersionMax="47" xr10:uidLastSave="{8F5268CD-300C-4B0F-B72F-53195839CA39}"/>
  <bookViews>
    <workbookView xWindow="-108" yWindow="-108" windowWidth="23256" windowHeight="12456" activeTab="1" xr2:uid="{46361725-6F1C-4438-B90E-D4C9E4EF6E97}"/>
  </bookViews>
  <sheets>
    <sheet name="Long" sheetId="2" r:id="rId1"/>
    <sheet name="Wide" sheetId="1" r:id="rId2"/>
  </sheets>
  <externalReferences>
    <externalReference r:id="rId3"/>
  </externalReferences>
  <definedNames>
    <definedName name="ExternalData_1" localSheetId="0" hidden="1">Long!$A$1:$D$166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Q8" i="1"/>
  <c r="Q7" i="1"/>
  <c r="Q6" i="1"/>
  <c r="Q5" i="1"/>
  <c r="Q4" i="1"/>
  <c r="Q3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F85914-45FF-4BE7-B948-E80C5CEA10C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<sst xmlns="http://schemas.openxmlformats.org/spreadsheetml/2006/main" count="362" uniqueCount="23">
  <si>
    <t>BEACON</t>
  </si>
  <si>
    <t>DRAPER</t>
  </si>
  <si>
    <t>FILMORE</t>
  </si>
  <si>
    <t>LAKESIDE</t>
  </si>
  <si>
    <t>MARE VALLEY</t>
  </si>
  <si>
    <t>NORTH</t>
  </si>
  <si>
    <t>OAKLEY</t>
  </si>
  <si>
    <t>ORLY</t>
  </si>
  <si>
    <t>PIERCE</t>
  </si>
  <si>
    <t>ROSEDALE</t>
  </si>
  <si>
    <t>SEALY</t>
  </si>
  <si>
    <t>SOUTHLAKE</t>
  </si>
  <si>
    <t>WESTLAKE</t>
  </si>
  <si>
    <t>WILDLAND</t>
  </si>
  <si>
    <t>REGIONAL AVG</t>
  </si>
  <si>
    <t>Date</t>
  </si>
  <si>
    <t>Q1</t>
  </si>
  <si>
    <t>Quarter</t>
  </si>
  <si>
    <t>Q2</t>
  </si>
  <si>
    <t>Q3</t>
  </si>
  <si>
    <t>Q4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</si>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</sst>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2" formatCode="mmm\-yy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Breast Cancer Screening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'[1]Pre Transfusion HGB Averages'!$C$32</c:f>
              <c:strCache>
                <c:ptCount val="1"/>
                <c:pt idx="0">
                  <c:v>DOWNEY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Averages'!$C$33:$C$34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C-4D98-95A4-AF37F578977B}"/>
            </c:ext>
          </c:extLst>
        </c:ser>
        <c:ser>
          <c:idx val="1"/>
          <c:order val="1"/>
          <c:tx>
            <c:strRef>
              <c:f>'[1]Pre Transfusion HGB Averages'!$D$32</c:f>
              <c:strCache>
                <c:ptCount val="1"/>
                <c:pt idx="0">
                  <c:v>FONTANA 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Averages'!$D$33:$D$34</c:f>
              <c:numCache>
                <c:formatCode>General</c:formatCode>
                <c:ptCount val="2"/>
                <c:pt idx="0">
                  <c:v>7.3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2C-4D98-95A4-AF37F578977B}"/>
            </c:ext>
          </c:extLst>
        </c:ser>
        <c:ser>
          <c:idx val="2"/>
          <c:order val="2"/>
          <c:tx>
            <c:strRef>
              <c:f>'[1]Pre Transfusion HGB Averages'!$E$32</c:f>
              <c:strCache>
                <c:ptCount val="1"/>
                <c:pt idx="0">
                  <c:v>LOS ANGELES 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Averages'!$E$33:$E$34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2C-4D98-95A4-AF37F578977B}"/>
            </c:ext>
          </c:extLst>
        </c:ser>
        <c:ser>
          <c:idx val="3"/>
          <c:order val="3"/>
          <c:tx>
            <c:strRef>
              <c:f>'[1]Pre Transfusion HGB Averages'!$F$32</c:f>
              <c:strCache>
                <c:ptCount val="1"/>
                <c:pt idx="0">
                  <c:v>MORENO VALLEY 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Averages'!$F$33:$F$34</c:f>
              <c:numCache>
                <c:formatCode>General</c:formatCode>
                <c:ptCount val="2"/>
                <c:pt idx="0">
                  <c:v>7.5</c:v>
                </c:pt>
                <c:pt idx="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2C-4D98-95A4-AF37F578977B}"/>
            </c:ext>
          </c:extLst>
        </c:ser>
        <c:ser>
          <c:idx val="4"/>
          <c:order val="4"/>
          <c:tx>
            <c:strRef>
              <c:f>'[1]Pre Transfusion HGB Averages'!$G$32</c:f>
              <c:strCache>
                <c:ptCount val="1"/>
                <c:pt idx="0">
                  <c:v>OC ANAHEIM 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Averages'!$G$33:$G$34</c:f>
              <c:numCache>
                <c:formatCode>General</c:formatCode>
                <c:ptCount val="2"/>
                <c:pt idx="0">
                  <c:v>7.7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2C-4D98-95A4-AF37F578977B}"/>
            </c:ext>
          </c:extLst>
        </c:ser>
        <c:ser>
          <c:idx val="5"/>
          <c:order val="5"/>
          <c:tx>
            <c:strRef>
              <c:f>'[1]Pre Transfusion HGB Averages'!$H$32</c:f>
              <c:strCache>
                <c:ptCount val="1"/>
                <c:pt idx="0">
                  <c:v>OC IRVINE 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Averages'!$H$33:$H$34</c:f>
              <c:numCache>
                <c:formatCode>General</c:formatCode>
                <c:ptCount val="2"/>
                <c:pt idx="0">
                  <c:v>8</c:v>
                </c:pt>
                <c:pt idx="1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C-4D98-95A4-AF37F578977B}"/>
            </c:ext>
          </c:extLst>
        </c:ser>
        <c:ser>
          <c:idx val="6"/>
          <c:order val="6"/>
          <c:tx>
            <c:strRef>
              <c:f>'[1]Pre Transfusion HGB Averages'!$I$32</c:f>
              <c:strCache>
                <c:ptCount val="1"/>
                <c:pt idx="0">
                  <c:v>ONTARIO 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Averages'!$I$33:$I$34</c:f>
              <c:numCache>
                <c:formatCode>General</c:formatCode>
                <c:ptCount val="2"/>
                <c:pt idx="0">
                  <c:v>7.7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2C-4D98-95A4-AF37F578977B}"/>
            </c:ext>
          </c:extLst>
        </c:ser>
        <c:ser>
          <c:idx val="7"/>
          <c:order val="7"/>
          <c:tx>
            <c:strRef>
              <c:f>'[1]Pre Transfusion HGB Averages'!$J$32</c:f>
              <c:strCache>
                <c:ptCount val="1"/>
                <c:pt idx="0">
                  <c:v>PANORAMA 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Averages'!$J$33:$J$34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2C-4D98-95A4-AF37F578977B}"/>
            </c:ext>
          </c:extLst>
        </c:ser>
        <c:ser>
          <c:idx val="8"/>
          <c:order val="8"/>
          <c:tx>
            <c:strRef>
              <c:f>'[1]Pre Transfusion HGB Averages'!$K$32</c:f>
              <c:strCache>
                <c:ptCount val="1"/>
                <c:pt idx="0">
                  <c:v>RIVERSIDE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Averages'!$K$33:$K$34</c:f>
              <c:numCache>
                <c:formatCode>General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2C-4D98-95A4-AF37F578977B}"/>
            </c:ext>
          </c:extLst>
        </c:ser>
        <c:ser>
          <c:idx val="9"/>
          <c:order val="9"/>
          <c:tx>
            <c:strRef>
              <c:f>'[1]Pre Transfusion HGB Averages'!$L$32</c:f>
              <c:strCache>
                <c:ptCount val="1"/>
                <c:pt idx="0">
                  <c:v>SAN DIEGO 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9FFFF"/>
              </a:solidFill>
              <a:ln>
                <a:solidFill>
                  <a:srgbClr val="69FF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Averages'!$M$33:$M$34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2C-4D98-95A4-AF37F578977B}"/>
            </c:ext>
          </c:extLst>
        </c:ser>
        <c:ser>
          <c:idx val="10"/>
          <c:order val="10"/>
          <c:tx>
            <c:strRef>
              <c:f>'[1]Pre Transfusion HGB Averages'!$N$32</c:f>
              <c:strCache>
                <c:ptCount val="1"/>
                <c:pt idx="0">
                  <c:v>SOUTH BAY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Averages'!$N$33:$N$34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2C-4D98-95A4-AF37F578977B}"/>
            </c:ext>
          </c:extLst>
        </c:ser>
        <c:ser>
          <c:idx val="11"/>
          <c:order val="11"/>
          <c:tx>
            <c:strRef>
              <c:f>'[1]Pre Transfusion HGB Averages'!$O$32</c:f>
              <c:strCache>
                <c:ptCount val="1"/>
                <c:pt idx="0">
                  <c:v>WEST LA 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Averages'!$O$33:$O$34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2C-4D98-95A4-AF37F578977B}"/>
            </c:ext>
          </c:extLst>
        </c:ser>
        <c:ser>
          <c:idx val="12"/>
          <c:order val="12"/>
          <c:tx>
            <c:strRef>
              <c:f>'[1]Pre Transfusion HGB Averages'!$P$32</c:f>
              <c:strCache>
                <c:ptCount val="1"/>
                <c:pt idx="0">
                  <c:v>WOODLAND HILLS 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A6CAF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Averages'!$P$33:$P$34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2C-4D98-95A4-AF37F578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172072"/>
        <c:axId val="2102180392"/>
      </c:lineChart>
      <c:catAx>
        <c:axId val="210217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End of Rolling Time Period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2180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2180392"/>
        <c:scaling>
          <c:orientation val="minMax"/>
          <c:max val="9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Eligible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2172072"/>
        <c:crosses val="autoZero"/>
        <c:crossBetween val="between"/>
      </c:valAx>
      <c:spPr>
        <a:solidFill>
          <a:srgbClr val="E3E3E3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5</xdr:row>
      <xdr:rowOff>0</xdr:rowOff>
    </xdr:from>
    <xdr:to>
      <xdr:col>16</xdr:col>
      <xdr:colOff>0</xdr:colOff>
      <xdr:row>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150FD-E767-4913-B616-20B57B602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za/Downloads/Medicine_Regional_BLUAT_Quarterly_Trends_Report_2017_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Transfusion HGB Averages"/>
      <sheetName val="Post Transfusion HGB Averages"/>
      <sheetName val="Total Transfusion Volumes"/>
      <sheetName val="RBC Transfusion Volumes"/>
      <sheetName val="FFP Transfusion Volumes"/>
      <sheetName val="Platelet Transfusion Volumes"/>
      <sheetName val="RBC Patient Days"/>
      <sheetName val="FFP Patient Days"/>
      <sheetName val="Platelet Patient Days"/>
      <sheetName val="Total Transfusion Patient Days"/>
      <sheetName val="Specifications"/>
      <sheetName val="Sheet1"/>
      <sheetName val="Sheet2"/>
      <sheetName val="Sheet3"/>
    </sheetNames>
    <sheetDataSet>
      <sheetData sheetId="0">
        <row r="32">
          <cell r="C32" t="str">
            <v xml:space="preserve">DOWNEY </v>
          </cell>
          <cell r="D32" t="str">
            <v xml:space="preserve">FONTANA </v>
          </cell>
          <cell r="E32" t="str">
            <v xml:space="preserve">LOS ANGELES </v>
          </cell>
          <cell r="F32" t="str">
            <v xml:space="preserve">MORENO VALLEY </v>
          </cell>
          <cell r="G32" t="str">
            <v xml:space="preserve">OC ANAHEIM </v>
          </cell>
          <cell r="H32" t="str">
            <v xml:space="preserve">OC IRVINE </v>
          </cell>
          <cell r="I32" t="str">
            <v xml:space="preserve">ONTARIO </v>
          </cell>
          <cell r="J32" t="str">
            <v xml:space="preserve">PANORAMA </v>
          </cell>
          <cell r="K32" t="str">
            <v xml:space="preserve">RIVERSIDE </v>
          </cell>
          <cell r="L32" t="str">
            <v xml:space="preserve">SAN DIEGO </v>
          </cell>
          <cell r="N32" t="str">
            <v>SOUTH BAY</v>
          </cell>
          <cell r="O32" t="str">
            <v xml:space="preserve">WEST LA </v>
          </cell>
          <cell r="P32" t="str">
            <v xml:space="preserve">WOODLAND HILLS </v>
          </cell>
        </row>
        <row r="33">
          <cell r="A33" t="str">
            <v>2015 Q1</v>
          </cell>
          <cell r="C33">
            <v>7.6</v>
          </cell>
          <cell r="D33">
            <v>7.3</v>
          </cell>
          <cell r="E33">
            <v>7.3</v>
          </cell>
          <cell r="F33">
            <v>7.5</v>
          </cell>
          <cell r="G33">
            <v>7.7</v>
          </cell>
          <cell r="H33">
            <v>8</v>
          </cell>
          <cell r="I33">
            <v>7.7</v>
          </cell>
          <cell r="J33">
            <v>7.3</v>
          </cell>
          <cell r="K33">
            <v>7.5</v>
          </cell>
          <cell r="M33">
            <v>7.4</v>
          </cell>
          <cell r="N33">
            <v>7.4</v>
          </cell>
          <cell r="O33">
            <v>7.4</v>
          </cell>
          <cell r="P33">
            <v>7.6</v>
          </cell>
        </row>
        <row r="34">
          <cell r="A34" t="str">
            <v>2015 Q2</v>
          </cell>
          <cell r="C34">
            <v>7.6</v>
          </cell>
          <cell r="D34">
            <v>7.4</v>
          </cell>
          <cell r="E34">
            <v>7.3</v>
          </cell>
          <cell r="F34">
            <v>7.2</v>
          </cell>
          <cell r="G34">
            <v>7.6</v>
          </cell>
          <cell r="H34">
            <v>7.7</v>
          </cell>
          <cell r="I34">
            <v>7.4</v>
          </cell>
          <cell r="J34">
            <v>7.3</v>
          </cell>
          <cell r="K34">
            <v>7.5</v>
          </cell>
          <cell r="M34">
            <v>7.4</v>
          </cell>
          <cell r="N34">
            <v>7.4</v>
          </cell>
          <cell r="O34">
            <v>7.4</v>
          </cell>
          <cell r="P34">
            <v>7.6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D007FD-E8A8-4247-9563-731046062EBC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Quarter" tableColumnId="2"/>
      <queryTableField id="3" name="Attribute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F9E8F-B28F-4293-A4FC-6615693BF561}" name="Table1_2" displayName="Table1_2" ref="A1:D166" tableType="queryTable" totalsRowShown="0">
  <autoFilter ref="A1:D166" xr:uid="{64CF9E8F-B28F-4293-A4FC-6615693BF561}"/>
  <tableColumns count="4">
    <tableColumn id="1" xr3:uid="{35767822-5A3A-4618-AE5C-BA0E35E52B9D}" uniqueName="1" name="Date" queryTableFieldId="1" dataDxfId="3"/>
    <tableColumn id="2" xr3:uid="{A3C1AAF0-ABD6-4950-AE68-13CF41891A9A}" uniqueName="2" name="Quarter" queryTableFieldId="2" dataDxfId="2"/>
    <tableColumn id="3" xr3:uid="{0F7457CC-015F-4EE7-865C-E2F638947310}" uniqueName="3" name="Attribute" queryTableFieldId="3" dataDxfId="1"/>
    <tableColumn id="4" xr3:uid="{78FAB146-BABD-4381-A8CE-659B7F9C812D}" uniqueName="4" name="Valu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63E0A-295D-47D0-A129-F5382DC94601}" name="Table1" displayName="Table1" ref="A1:Q12" totalsRowShown="0">
  <autoFilter ref="A1:Q12" xr:uid="{3CA63E0A-295D-47D0-A129-F5382DC94601}"/>
  <tableColumns count="17">
    <tableColumn id="1" xr3:uid="{F0E251C0-CB51-4001-A2FC-C2949800C6FE}" name="Date" dataDxfId="0"/>
    <tableColumn id="2" xr3:uid="{AFB4AD97-848C-4BFB-8825-9A39A04A2A8B}" name="Quarter"/>
    <tableColumn id="3" xr3:uid="{D32084D2-508F-434B-A86E-332514564B80}" name="BEACON"/>
    <tableColumn id="4" xr3:uid="{A7DDA515-96C9-4F46-860B-54ADC43AC729}" name="DRAPER"/>
    <tableColumn id="5" xr3:uid="{69654682-3416-443E-8F56-D6778960C79E}" name="FILMORE"/>
    <tableColumn id="6" xr3:uid="{94E41C39-EF74-4B51-9190-A51DE6332CA9}" name="LAKESIDE"/>
    <tableColumn id="7" xr3:uid="{0E819CBD-4DB8-4850-B3A3-E734EE4DF89B}" name="MARE VALLEY"/>
    <tableColumn id="8" xr3:uid="{A7AC81DA-6086-4F23-B665-C080D52B175B}" name="NORTH"/>
    <tableColumn id="9" xr3:uid="{F318C958-A9B3-4BC7-9CA2-7A6A3FDC4FE0}" name="OAKLEY"/>
    <tableColumn id="10" xr3:uid="{930F1748-CA09-4746-B42E-9982DB045A30}" name="ORLY"/>
    <tableColumn id="11" xr3:uid="{8F15CD41-1B8A-420B-967F-613ACDB01C15}" name="PIERCE"/>
    <tableColumn id="12" xr3:uid="{B2A25C5C-6F2C-47FE-BA15-47032DFA7D80}" name="ROSEDALE"/>
    <tableColumn id="13" xr3:uid="{B844C1B6-FC89-42EC-8C14-796A8FEB377C}" name="SEALY"/>
    <tableColumn id="14" xr3:uid="{860D24F8-E606-4C91-BA35-146827214609}" name="SOUTHLAKE"/>
    <tableColumn id="15" xr3:uid="{57358766-8C3B-461D-B3B3-9D95B5308239}" name="WESTLAKE"/>
    <tableColumn id="16" xr3:uid="{3C9E5810-4F12-4208-B0FC-38683F812F5C}" name="WILDLAND"/>
    <tableColumn id="17" xr3:uid="{D6356B03-F40A-48A9-B867-CB8A168645B5}" name="REGIONAL AVG">
      <calculatedColumnFormula>AVERAGE(C2:P2)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298E-E2EF-41AC-8643-C7DB4A3AFDF0}">
  <dimension ref="A1:D166"/>
  <sheetViews>
    <sheetView workbookViewId="0">
      <selection activeCell="D1" sqref="D1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13.5546875" bestFit="1" customWidth="1"/>
    <col min="4" max="4" width="12" bestFit="1" customWidth="1"/>
  </cols>
  <sheetData>
    <row r="1" spans="1:4" x14ac:dyDescent="0.3">
      <c r="A1" t="s">
        <v>15</v>
      </c>
      <c r="B1" t="s">
        <v>17</v>
      </c>
      <c r="C1" t="s">
        <v>21</v>
      </c>
      <c r="D1" t="s">
        <v>22</v>
      </c>
    </row>
    <row r="2" spans="1:4" x14ac:dyDescent="0.3">
      <c r="A2" s="2">
        <v>42795</v>
      </c>
      <c r="B2" t="s">
        <v>16</v>
      </c>
      <c r="C2" t="s">
        <v>0</v>
      </c>
      <c r="D2">
        <v>69</v>
      </c>
    </row>
    <row r="3" spans="1:4" x14ac:dyDescent="0.3">
      <c r="A3" s="2">
        <v>42795</v>
      </c>
      <c r="B3" t="s">
        <v>16</v>
      </c>
      <c r="C3" t="s">
        <v>1</v>
      </c>
      <c r="D3">
        <v>130</v>
      </c>
    </row>
    <row r="4" spans="1:4" x14ac:dyDescent="0.3">
      <c r="A4" s="2">
        <v>42795</v>
      </c>
      <c r="B4" t="s">
        <v>16</v>
      </c>
      <c r="C4" t="s">
        <v>2</v>
      </c>
      <c r="D4">
        <v>85</v>
      </c>
    </row>
    <row r="5" spans="1:4" x14ac:dyDescent="0.3">
      <c r="A5" s="2">
        <v>42795</v>
      </c>
      <c r="B5" t="s">
        <v>16</v>
      </c>
      <c r="C5" t="s">
        <v>3</v>
      </c>
      <c r="D5">
        <v>117</v>
      </c>
    </row>
    <row r="6" spans="1:4" x14ac:dyDescent="0.3">
      <c r="A6" s="2">
        <v>42795</v>
      </c>
      <c r="B6" t="s">
        <v>16</v>
      </c>
      <c r="C6" t="s">
        <v>4</v>
      </c>
      <c r="D6">
        <v>16</v>
      </c>
    </row>
    <row r="7" spans="1:4" x14ac:dyDescent="0.3">
      <c r="A7" s="2">
        <v>42795</v>
      </c>
      <c r="B7" t="s">
        <v>16</v>
      </c>
      <c r="C7" t="s">
        <v>5</v>
      </c>
      <c r="D7">
        <v>74</v>
      </c>
    </row>
    <row r="8" spans="1:4" x14ac:dyDescent="0.3">
      <c r="A8" s="2">
        <v>42795</v>
      </c>
      <c r="B8" t="s">
        <v>16</v>
      </c>
      <c r="C8" t="s">
        <v>6</v>
      </c>
      <c r="D8">
        <v>61</v>
      </c>
    </row>
    <row r="9" spans="1:4" x14ac:dyDescent="0.3">
      <c r="A9" s="2">
        <v>42795</v>
      </c>
      <c r="B9" t="s">
        <v>16</v>
      </c>
      <c r="C9" t="s">
        <v>7</v>
      </c>
      <c r="D9">
        <v>51</v>
      </c>
    </row>
    <row r="10" spans="1:4" x14ac:dyDescent="0.3">
      <c r="A10" s="2">
        <v>42795</v>
      </c>
      <c r="B10" t="s">
        <v>16</v>
      </c>
      <c r="C10" t="s">
        <v>8</v>
      </c>
      <c r="D10">
        <v>35</v>
      </c>
    </row>
    <row r="11" spans="1:4" x14ac:dyDescent="0.3">
      <c r="A11" s="2">
        <v>42795</v>
      </c>
      <c r="B11" t="s">
        <v>16</v>
      </c>
      <c r="C11" t="s">
        <v>9</v>
      </c>
      <c r="D11">
        <v>65</v>
      </c>
    </row>
    <row r="12" spans="1:4" x14ac:dyDescent="0.3">
      <c r="A12" s="2">
        <v>42795</v>
      </c>
      <c r="B12" t="s">
        <v>16</v>
      </c>
      <c r="C12" t="s">
        <v>10</v>
      </c>
      <c r="D12">
        <v>93</v>
      </c>
    </row>
    <row r="13" spans="1:4" x14ac:dyDescent="0.3">
      <c r="A13" s="2">
        <v>42795</v>
      </c>
      <c r="B13" t="s">
        <v>16</v>
      </c>
      <c r="C13" t="s">
        <v>11</v>
      </c>
      <c r="D13">
        <v>72</v>
      </c>
    </row>
    <row r="14" spans="1:4" x14ac:dyDescent="0.3">
      <c r="A14" s="2">
        <v>42795</v>
      </c>
      <c r="B14" t="s">
        <v>16</v>
      </c>
      <c r="C14" t="s">
        <v>12</v>
      </c>
      <c r="D14">
        <v>83</v>
      </c>
    </row>
    <row r="15" spans="1:4" x14ac:dyDescent="0.3">
      <c r="A15" s="2">
        <v>42795</v>
      </c>
      <c r="B15" t="s">
        <v>16</v>
      </c>
      <c r="C15" t="s">
        <v>13</v>
      </c>
      <c r="D15">
        <v>83</v>
      </c>
    </row>
    <row r="16" spans="1:4" x14ac:dyDescent="0.3">
      <c r="A16" s="2">
        <v>42795</v>
      </c>
      <c r="B16" t="s">
        <v>16</v>
      </c>
      <c r="C16" t="s">
        <v>14</v>
      </c>
      <c r="D16">
        <v>73.857142857142861</v>
      </c>
    </row>
    <row r="17" spans="1:4" x14ac:dyDescent="0.3">
      <c r="A17" s="2">
        <v>42887</v>
      </c>
      <c r="B17" t="s">
        <v>18</v>
      </c>
      <c r="C17" t="s">
        <v>0</v>
      </c>
      <c r="D17">
        <v>77</v>
      </c>
    </row>
    <row r="18" spans="1:4" x14ac:dyDescent="0.3">
      <c r="A18" s="2">
        <v>42887</v>
      </c>
      <c r="B18" t="s">
        <v>18</v>
      </c>
      <c r="C18" t="s">
        <v>1</v>
      </c>
      <c r="D18">
        <v>86</v>
      </c>
    </row>
    <row r="19" spans="1:4" x14ac:dyDescent="0.3">
      <c r="A19" s="2">
        <v>42887</v>
      </c>
      <c r="B19" t="s">
        <v>18</v>
      </c>
      <c r="C19" t="s">
        <v>2</v>
      </c>
      <c r="D19">
        <v>97</v>
      </c>
    </row>
    <row r="20" spans="1:4" x14ac:dyDescent="0.3">
      <c r="A20" s="2">
        <v>42887</v>
      </c>
      <c r="B20" t="s">
        <v>18</v>
      </c>
      <c r="C20" t="s">
        <v>3</v>
      </c>
      <c r="D20">
        <v>107</v>
      </c>
    </row>
    <row r="21" spans="1:4" x14ac:dyDescent="0.3">
      <c r="A21" s="2">
        <v>42887</v>
      </c>
      <c r="B21" t="s">
        <v>18</v>
      </c>
      <c r="C21" t="s">
        <v>4</v>
      </c>
      <c r="D21">
        <v>17</v>
      </c>
    </row>
    <row r="22" spans="1:4" x14ac:dyDescent="0.3">
      <c r="A22" s="2">
        <v>42887</v>
      </c>
      <c r="B22" t="s">
        <v>18</v>
      </c>
      <c r="C22" t="s">
        <v>5</v>
      </c>
      <c r="D22">
        <v>71</v>
      </c>
    </row>
    <row r="23" spans="1:4" x14ac:dyDescent="0.3">
      <c r="A23" s="2">
        <v>42887</v>
      </c>
      <c r="B23" t="s">
        <v>18</v>
      </c>
      <c r="C23" t="s">
        <v>6</v>
      </c>
      <c r="D23">
        <v>55</v>
      </c>
    </row>
    <row r="24" spans="1:4" x14ac:dyDescent="0.3">
      <c r="A24" s="2">
        <v>42887</v>
      </c>
      <c r="B24" t="s">
        <v>18</v>
      </c>
      <c r="C24" t="s">
        <v>7</v>
      </c>
      <c r="D24">
        <v>61</v>
      </c>
    </row>
    <row r="25" spans="1:4" x14ac:dyDescent="0.3">
      <c r="A25" s="2">
        <v>42887</v>
      </c>
      <c r="B25" t="s">
        <v>18</v>
      </c>
      <c r="C25" t="s">
        <v>8</v>
      </c>
      <c r="D25">
        <v>32</v>
      </c>
    </row>
    <row r="26" spans="1:4" x14ac:dyDescent="0.3">
      <c r="A26" s="2">
        <v>42887</v>
      </c>
      <c r="B26" t="s">
        <v>18</v>
      </c>
      <c r="C26" t="s">
        <v>9</v>
      </c>
      <c r="D26">
        <v>55</v>
      </c>
    </row>
    <row r="27" spans="1:4" x14ac:dyDescent="0.3">
      <c r="A27" s="2">
        <v>42887</v>
      </c>
      <c r="B27" t="s">
        <v>18</v>
      </c>
      <c r="C27" t="s">
        <v>10</v>
      </c>
      <c r="D27">
        <v>89</v>
      </c>
    </row>
    <row r="28" spans="1:4" x14ac:dyDescent="0.3">
      <c r="A28" s="2">
        <v>42887</v>
      </c>
      <c r="B28" t="s">
        <v>18</v>
      </c>
      <c r="C28" t="s">
        <v>11</v>
      </c>
      <c r="D28">
        <v>64</v>
      </c>
    </row>
    <row r="29" spans="1:4" x14ac:dyDescent="0.3">
      <c r="A29" s="2">
        <v>42887</v>
      </c>
      <c r="B29" t="s">
        <v>18</v>
      </c>
      <c r="C29" t="s">
        <v>12</v>
      </c>
      <c r="D29">
        <v>73</v>
      </c>
    </row>
    <row r="30" spans="1:4" x14ac:dyDescent="0.3">
      <c r="A30" s="2">
        <v>42887</v>
      </c>
      <c r="B30" t="s">
        <v>18</v>
      </c>
      <c r="C30" t="s">
        <v>13</v>
      </c>
      <c r="D30">
        <v>79</v>
      </c>
    </row>
    <row r="31" spans="1:4" x14ac:dyDescent="0.3">
      <c r="A31" s="2">
        <v>42887</v>
      </c>
      <c r="B31" t="s">
        <v>18</v>
      </c>
      <c r="C31" t="s">
        <v>14</v>
      </c>
      <c r="D31">
        <v>68.785714285714292</v>
      </c>
    </row>
    <row r="32" spans="1:4" x14ac:dyDescent="0.3">
      <c r="A32" s="2">
        <v>42979</v>
      </c>
      <c r="B32" t="s">
        <v>19</v>
      </c>
      <c r="C32" t="s">
        <v>0</v>
      </c>
      <c r="D32">
        <v>63</v>
      </c>
    </row>
    <row r="33" spans="1:4" x14ac:dyDescent="0.3">
      <c r="A33" s="2">
        <v>42979</v>
      </c>
      <c r="B33" t="s">
        <v>19</v>
      </c>
      <c r="C33" t="s">
        <v>1</v>
      </c>
      <c r="D33">
        <v>90</v>
      </c>
    </row>
    <row r="34" spans="1:4" x14ac:dyDescent="0.3">
      <c r="A34" s="2">
        <v>42979</v>
      </c>
      <c r="B34" t="s">
        <v>19</v>
      </c>
      <c r="C34" t="s">
        <v>2</v>
      </c>
      <c r="D34">
        <v>92</v>
      </c>
    </row>
    <row r="35" spans="1:4" x14ac:dyDescent="0.3">
      <c r="A35" s="2">
        <v>42979</v>
      </c>
      <c r="B35" t="s">
        <v>19</v>
      </c>
      <c r="C35" t="s">
        <v>3</v>
      </c>
      <c r="D35">
        <v>127</v>
      </c>
    </row>
    <row r="36" spans="1:4" x14ac:dyDescent="0.3">
      <c r="A36" s="2">
        <v>42979</v>
      </c>
      <c r="B36" t="s">
        <v>19</v>
      </c>
      <c r="C36" t="s">
        <v>4</v>
      </c>
      <c r="D36">
        <v>18</v>
      </c>
    </row>
    <row r="37" spans="1:4" x14ac:dyDescent="0.3">
      <c r="A37" s="2">
        <v>42979</v>
      </c>
      <c r="B37" t="s">
        <v>19</v>
      </c>
      <c r="C37" t="s">
        <v>5</v>
      </c>
      <c r="D37">
        <v>68</v>
      </c>
    </row>
    <row r="38" spans="1:4" x14ac:dyDescent="0.3">
      <c r="A38" s="2">
        <v>42979</v>
      </c>
      <c r="B38" t="s">
        <v>19</v>
      </c>
      <c r="C38" t="s">
        <v>6</v>
      </c>
      <c r="D38">
        <v>55</v>
      </c>
    </row>
    <row r="39" spans="1:4" x14ac:dyDescent="0.3">
      <c r="A39" s="2">
        <v>42979</v>
      </c>
      <c r="B39" t="s">
        <v>19</v>
      </c>
      <c r="C39" t="s">
        <v>7</v>
      </c>
      <c r="D39">
        <v>67</v>
      </c>
    </row>
    <row r="40" spans="1:4" x14ac:dyDescent="0.3">
      <c r="A40" s="2">
        <v>42979</v>
      </c>
      <c r="B40" t="s">
        <v>19</v>
      </c>
      <c r="C40" t="s">
        <v>8</v>
      </c>
      <c r="D40">
        <v>32</v>
      </c>
    </row>
    <row r="41" spans="1:4" x14ac:dyDescent="0.3">
      <c r="A41" s="2">
        <v>42979</v>
      </c>
      <c r="B41" t="s">
        <v>19</v>
      </c>
      <c r="C41" t="s">
        <v>9</v>
      </c>
      <c r="D41">
        <v>59</v>
      </c>
    </row>
    <row r="42" spans="1:4" x14ac:dyDescent="0.3">
      <c r="A42" s="2">
        <v>42979</v>
      </c>
      <c r="B42" t="s">
        <v>19</v>
      </c>
      <c r="C42" t="s">
        <v>10</v>
      </c>
      <c r="D42">
        <v>79</v>
      </c>
    </row>
    <row r="43" spans="1:4" x14ac:dyDescent="0.3">
      <c r="A43" s="2">
        <v>42979</v>
      </c>
      <c r="B43" t="s">
        <v>19</v>
      </c>
      <c r="C43" t="s">
        <v>11</v>
      </c>
      <c r="D43">
        <v>58</v>
      </c>
    </row>
    <row r="44" spans="1:4" x14ac:dyDescent="0.3">
      <c r="A44" s="2">
        <v>42979</v>
      </c>
      <c r="B44" t="s">
        <v>19</v>
      </c>
      <c r="C44" t="s">
        <v>12</v>
      </c>
      <c r="D44">
        <v>73</v>
      </c>
    </row>
    <row r="45" spans="1:4" x14ac:dyDescent="0.3">
      <c r="A45" s="2">
        <v>42979</v>
      </c>
      <c r="B45" t="s">
        <v>19</v>
      </c>
      <c r="C45" t="s">
        <v>13</v>
      </c>
      <c r="D45">
        <v>81</v>
      </c>
    </row>
    <row r="46" spans="1:4" x14ac:dyDescent="0.3">
      <c r="A46" s="2">
        <v>42979</v>
      </c>
      <c r="B46" t="s">
        <v>19</v>
      </c>
      <c r="C46" t="s">
        <v>14</v>
      </c>
      <c r="D46">
        <v>68.714285714285708</v>
      </c>
    </row>
    <row r="47" spans="1:4" x14ac:dyDescent="0.3">
      <c r="A47" s="2">
        <v>43070</v>
      </c>
      <c r="B47" t="s">
        <v>20</v>
      </c>
      <c r="C47" t="s">
        <v>0</v>
      </c>
      <c r="D47">
        <v>61</v>
      </c>
    </row>
    <row r="48" spans="1:4" x14ac:dyDescent="0.3">
      <c r="A48" s="2">
        <v>43070</v>
      </c>
      <c r="B48" t="s">
        <v>20</v>
      </c>
      <c r="C48" t="s">
        <v>1</v>
      </c>
      <c r="D48">
        <v>100</v>
      </c>
    </row>
    <row r="49" spans="1:4" x14ac:dyDescent="0.3">
      <c r="A49" s="2">
        <v>43070</v>
      </c>
      <c r="B49" t="s">
        <v>20</v>
      </c>
      <c r="C49" t="s">
        <v>2</v>
      </c>
      <c r="D49">
        <v>95</v>
      </c>
    </row>
    <row r="50" spans="1:4" x14ac:dyDescent="0.3">
      <c r="A50" s="2">
        <v>43070</v>
      </c>
      <c r="B50" t="s">
        <v>20</v>
      </c>
      <c r="C50" t="s">
        <v>3</v>
      </c>
      <c r="D50">
        <v>132</v>
      </c>
    </row>
    <row r="51" spans="1:4" x14ac:dyDescent="0.3">
      <c r="A51" s="2">
        <v>43070</v>
      </c>
      <c r="B51" t="s">
        <v>20</v>
      </c>
      <c r="C51" t="s">
        <v>4</v>
      </c>
      <c r="D51">
        <v>21</v>
      </c>
    </row>
    <row r="52" spans="1:4" x14ac:dyDescent="0.3">
      <c r="A52" s="2">
        <v>43070</v>
      </c>
      <c r="B52" t="s">
        <v>20</v>
      </c>
      <c r="C52" t="s">
        <v>5</v>
      </c>
      <c r="D52">
        <v>72</v>
      </c>
    </row>
    <row r="53" spans="1:4" x14ac:dyDescent="0.3">
      <c r="A53" s="2">
        <v>43070</v>
      </c>
      <c r="B53" t="s">
        <v>20</v>
      </c>
      <c r="C53" t="s">
        <v>6</v>
      </c>
      <c r="D53">
        <v>72</v>
      </c>
    </row>
    <row r="54" spans="1:4" x14ac:dyDescent="0.3">
      <c r="A54" s="2">
        <v>43070</v>
      </c>
      <c r="B54" t="s">
        <v>20</v>
      </c>
      <c r="C54" t="s">
        <v>7</v>
      </c>
      <c r="D54">
        <v>51</v>
      </c>
    </row>
    <row r="55" spans="1:4" x14ac:dyDescent="0.3">
      <c r="A55" s="2">
        <v>43070</v>
      </c>
      <c r="B55" t="s">
        <v>20</v>
      </c>
      <c r="C55" t="s">
        <v>8</v>
      </c>
      <c r="D55">
        <v>49</v>
      </c>
    </row>
    <row r="56" spans="1:4" x14ac:dyDescent="0.3">
      <c r="A56" s="2">
        <v>43070</v>
      </c>
      <c r="B56" t="s">
        <v>20</v>
      </c>
      <c r="C56" t="s">
        <v>9</v>
      </c>
      <c r="D56">
        <v>53</v>
      </c>
    </row>
    <row r="57" spans="1:4" x14ac:dyDescent="0.3">
      <c r="A57" s="2">
        <v>43070</v>
      </c>
      <c r="B57" t="s">
        <v>20</v>
      </c>
      <c r="C57" t="s">
        <v>10</v>
      </c>
      <c r="D57">
        <v>82</v>
      </c>
    </row>
    <row r="58" spans="1:4" x14ac:dyDescent="0.3">
      <c r="A58" s="2">
        <v>43070</v>
      </c>
      <c r="B58" t="s">
        <v>20</v>
      </c>
      <c r="C58" t="s">
        <v>11</v>
      </c>
      <c r="D58">
        <v>77</v>
      </c>
    </row>
    <row r="59" spans="1:4" x14ac:dyDescent="0.3">
      <c r="A59" s="2">
        <v>43070</v>
      </c>
      <c r="B59" t="s">
        <v>20</v>
      </c>
      <c r="C59" t="s">
        <v>12</v>
      </c>
      <c r="D59">
        <v>85</v>
      </c>
    </row>
    <row r="60" spans="1:4" x14ac:dyDescent="0.3">
      <c r="A60" s="2">
        <v>43070</v>
      </c>
      <c r="B60" t="s">
        <v>20</v>
      </c>
      <c r="C60" t="s">
        <v>13</v>
      </c>
      <c r="D60">
        <v>75</v>
      </c>
    </row>
    <row r="61" spans="1:4" x14ac:dyDescent="0.3">
      <c r="A61" s="2">
        <v>43070</v>
      </c>
      <c r="B61" t="s">
        <v>20</v>
      </c>
      <c r="C61" t="s">
        <v>14</v>
      </c>
      <c r="D61">
        <v>73.214285714285708</v>
      </c>
    </row>
    <row r="62" spans="1:4" x14ac:dyDescent="0.3">
      <c r="A62" s="2">
        <v>43160</v>
      </c>
      <c r="B62" t="s">
        <v>16</v>
      </c>
      <c r="C62" t="s">
        <v>0</v>
      </c>
      <c r="D62">
        <v>67</v>
      </c>
    </row>
    <row r="63" spans="1:4" x14ac:dyDescent="0.3">
      <c r="A63" s="2">
        <v>43160</v>
      </c>
      <c r="B63" t="s">
        <v>16</v>
      </c>
      <c r="C63" t="s">
        <v>1</v>
      </c>
      <c r="D63">
        <v>106</v>
      </c>
    </row>
    <row r="64" spans="1:4" x14ac:dyDescent="0.3">
      <c r="A64" s="2">
        <v>43160</v>
      </c>
      <c r="B64" t="s">
        <v>16</v>
      </c>
      <c r="C64" t="s">
        <v>2</v>
      </c>
      <c r="D64">
        <v>92</v>
      </c>
    </row>
    <row r="65" spans="1:4" x14ac:dyDescent="0.3">
      <c r="A65" s="2">
        <v>43160</v>
      </c>
      <c r="B65" t="s">
        <v>16</v>
      </c>
      <c r="C65" t="s">
        <v>3</v>
      </c>
      <c r="D65">
        <v>145</v>
      </c>
    </row>
    <row r="66" spans="1:4" x14ac:dyDescent="0.3">
      <c r="A66" s="2">
        <v>43160</v>
      </c>
      <c r="B66" t="s">
        <v>16</v>
      </c>
      <c r="C66" t="s">
        <v>4</v>
      </c>
      <c r="D66">
        <v>21</v>
      </c>
    </row>
    <row r="67" spans="1:4" x14ac:dyDescent="0.3">
      <c r="A67" s="2">
        <v>43160</v>
      </c>
      <c r="B67" t="s">
        <v>16</v>
      </c>
      <c r="C67" t="s">
        <v>5</v>
      </c>
      <c r="D67">
        <v>69</v>
      </c>
    </row>
    <row r="68" spans="1:4" x14ac:dyDescent="0.3">
      <c r="A68" s="2">
        <v>43160</v>
      </c>
      <c r="B68" t="s">
        <v>16</v>
      </c>
      <c r="C68" t="s">
        <v>6</v>
      </c>
      <c r="D68">
        <v>79</v>
      </c>
    </row>
    <row r="69" spans="1:4" x14ac:dyDescent="0.3">
      <c r="A69" s="2">
        <v>43160</v>
      </c>
      <c r="B69" t="s">
        <v>16</v>
      </c>
      <c r="C69" t="s">
        <v>7</v>
      </c>
      <c r="D69">
        <v>51</v>
      </c>
    </row>
    <row r="70" spans="1:4" x14ac:dyDescent="0.3">
      <c r="A70" s="2">
        <v>43160</v>
      </c>
      <c r="B70" t="s">
        <v>16</v>
      </c>
      <c r="C70" t="s">
        <v>8</v>
      </c>
      <c r="D70">
        <v>49</v>
      </c>
    </row>
    <row r="71" spans="1:4" x14ac:dyDescent="0.3">
      <c r="A71" s="2">
        <v>43160</v>
      </c>
      <c r="B71" t="s">
        <v>16</v>
      </c>
      <c r="C71" t="s">
        <v>9</v>
      </c>
      <c r="D71">
        <v>59</v>
      </c>
    </row>
    <row r="72" spans="1:4" x14ac:dyDescent="0.3">
      <c r="A72" s="2">
        <v>43160</v>
      </c>
      <c r="B72" t="s">
        <v>16</v>
      </c>
      <c r="C72" t="s">
        <v>10</v>
      </c>
      <c r="D72">
        <v>94</v>
      </c>
    </row>
    <row r="73" spans="1:4" x14ac:dyDescent="0.3">
      <c r="A73" s="2">
        <v>43160</v>
      </c>
      <c r="B73" t="s">
        <v>16</v>
      </c>
      <c r="C73" t="s">
        <v>11</v>
      </c>
      <c r="D73">
        <v>87</v>
      </c>
    </row>
    <row r="74" spans="1:4" x14ac:dyDescent="0.3">
      <c r="A74" s="2">
        <v>43160</v>
      </c>
      <c r="B74" t="s">
        <v>16</v>
      </c>
      <c r="C74" t="s">
        <v>12</v>
      </c>
      <c r="D74">
        <v>87</v>
      </c>
    </row>
    <row r="75" spans="1:4" x14ac:dyDescent="0.3">
      <c r="A75" s="2">
        <v>43160</v>
      </c>
      <c r="B75" t="s">
        <v>16</v>
      </c>
      <c r="C75" t="s">
        <v>13</v>
      </c>
      <c r="D75">
        <v>79</v>
      </c>
    </row>
    <row r="76" spans="1:4" x14ac:dyDescent="0.3">
      <c r="A76" s="2">
        <v>43160</v>
      </c>
      <c r="B76" t="s">
        <v>16</v>
      </c>
      <c r="C76" t="s">
        <v>14</v>
      </c>
      <c r="D76">
        <v>77.5</v>
      </c>
    </row>
    <row r="77" spans="1:4" x14ac:dyDescent="0.3">
      <c r="A77" s="2">
        <v>43252</v>
      </c>
      <c r="B77" t="s">
        <v>18</v>
      </c>
      <c r="C77" t="s">
        <v>0</v>
      </c>
      <c r="D77">
        <v>67</v>
      </c>
    </row>
    <row r="78" spans="1:4" x14ac:dyDescent="0.3">
      <c r="A78" s="2">
        <v>43252</v>
      </c>
      <c r="B78" t="s">
        <v>18</v>
      </c>
      <c r="C78" t="s">
        <v>1</v>
      </c>
      <c r="D78">
        <v>91</v>
      </c>
    </row>
    <row r="79" spans="1:4" x14ac:dyDescent="0.3">
      <c r="A79" s="2">
        <v>43252</v>
      </c>
      <c r="B79" t="s">
        <v>18</v>
      </c>
      <c r="C79" t="s">
        <v>2</v>
      </c>
      <c r="D79">
        <v>83</v>
      </c>
    </row>
    <row r="80" spans="1:4" x14ac:dyDescent="0.3">
      <c r="A80" s="2">
        <v>43252</v>
      </c>
      <c r="B80" t="s">
        <v>18</v>
      </c>
      <c r="C80" t="s">
        <v>3</v>
      </c>
      <c r="D80">
        <v>112</v>
      </c>
    </row>
    <row r="81" spans="1:4" x14ac:dyDescent="0.3">
      <c r="A81" s="2">
        <v>43252</v>
      </c>
      <c r="B81" t="s">
        <v>18</v>
      </c>
      <c r="C81" t="s">
        <v>4</v>
      </c>
      <c r="D81">
        <v>17</v>
      </c>
    </row>
    <row r="82" spans="1:4" x14ac:dyDescent="0.3">
      <c r="A82" s="2">
        <v>43252</v>
      </c>
      <c r="B82" t="s">
        <v>18</v>
      </c>
      <c r="C82" t="s">
        <v>5</v>
      </c>
      <c r="D82">
        <v>71</v>
      </c>
    </row>
    <row r="83" spans="1:4" x14ac:dyDescent="0.3">
      <c r="A83" s="2">
        <v>43252</v>
      </c>
      <c r="B83" t="s">
        <v>18</v>
      </c>
      <c r="C83" t="s">
        <v>6</v>
      </c>
      <c r="D83">
        <v>60</v>
      </c>
    </row>
    <row r="84" spans="1:4" x14ac:dyDescent="0.3">
      <c r="A84" s="2">
        <v>43252</v>
      </c>
      <c r="B84" t="s">
        <v>18</v>
      </c>
      <c r="C84" t="s">
        <v>7</v>
      </c>
      <c r="D84">
        <v>66</v>
      </c>
    </row>
    <row r="85" spans="1:4" x14ac:dyDescent="0.3">
      <c r="A85" s="2">
        <v>43252</v>
      </c>
      <c r="B85" t="s">
        <v>18</v>
      </c>
      <c r="C85" t="s">
        <v>8</v>
      </c>
      <c r="D85">
        <v>42</v>
      </c>
    </row>
    <row r="86" spans="1:4" x14ac:dyDescent="0.3">
      <c r="A86" s="2">
        <v>43252</v>
      </c>
      <c r="B86" t="s">
        <v>18</v>
      </c>
      <c r="C86" t="s">
        <v>9</v>
      </c>
      <c r="D86">
        <v>52</v>
      </c>
    </row>
    <row r="87" spans="1:4" x14ac:dyDescent="0.3">
      <c r="A87" s="2">
        <v>43252</v>
      </c>
      <c r="B87" t="s">
        <v>18</v>
      </c>
      <c r="C87" t="s">
        <v>10</v>
      </c>
      <c r="D87">
        <v>83</v>
      </c>
    </row>
    <row r="88" spans="1:4" x14ac:dyDescent="0.3">
      <c r="A88" s="2">
        <v>43252</v>
      </c>
      <c r="B88" t="s">
        <v>18</v>
      </c>
      <c r="C88" t="s">
        <v>11</v>
      </c>
      <c r="D88">
        <v>70</v>
      </c>
    </row>
    <row r="89" spans="1:4" x14ac:dyDescent="0.3">
      <c r="A89" s="2">
        <v>43252</v>
      </c>
      <c r="B89" t="s">
        <v>18</v>
      </c>
      <c r="C89" t="s">
        <v>12</v>
      </c>
      <c r="D89">
        <v>54</v>
      </c>
    </row>
    <row r="90" spans="1:4" x14ac:dyDescent="0.3">
      <c r="A90" s="2">
        <v>43252</v>
      </c>
      <c r="B90" t="s">
        <v>18</v>
      </c>
      <c r="C90" t="s">
        <v>13</v>
      </c>
      <c r="D90">
        <v>72</v>
      </c>
    </row>
    <row r="91" spans="1:4" x14ac:dyDescent="0.3">
      <c r="A91" s="2">
        <v>43252</v>
      </c>
      <c r="B91" t="s">
        <v>18</v>
      </c>
      <c r="C91" t="s">
        <v>14</v>
      </c>
      <c r="D91">
        <v>67.142857142857139</v>
      </c>
    </row>
    <row r="92" spans="1:4" x14ac:dyDescent="0.3">
      <c r="A92" s="2">
        <v>43344</v>
      </c>
      <c r="B92" t="s">
        <v>19</v>
      </c>
      <c r="C92" t="s">
        <v>0</v>
      </c>
      <c r="D92">
        <v>57</v>
      </c>
    </row>
    <row r="93" spans="1:4" x14ac:dyDescent="0.3">
      <c r="A93" s="2">
        <v>43344</v>
      </c>
      <c r="B93" t="s">
        <v>19</v>
      </c>
      <c r="C93" t="s">
        <v>1</v>
      </c>
      <c r="D93">
        <v>89</v>
      </c>
    </row>
    <row r="94" spans="1:4" x14ac:dyDescent="0.3">
      <c r="A94" s="2">
        <v>43344</v>
      </c>
      <c r="B94" t="s">
        <v>19</v>
      </c>
      <c r="C94" t="s">
        <v>2</v>
      </c>
      <c r="D94">
        <v>103</v>
      </c>
    </row>
    <row r="95" spans="1:4" x14ac:dyDescent="0.3">
      <c r="A95" s="2">
        <v>43344</v>
      </c>
      <c r="B95" t="s">
        <v>19</v>
      </c>
      <c r="C95" t="s">
        <v>3</v>
      </c>
      <c r="D95">
        <v>107</v>
      </c>
    </row>
    <row r="96" spans="1:4" x14ac:dyDescent="0.3">
      <c r="A96" s="2">
        <v>43344</v>
      </c>
      <c r="B96" t="s">
        <v>19</v>
      </c>
      <c r="C96" t="s">
        <v>4</v>
      </c>
      <c r="D96">
        <v>17</v>
      </c>
    </row>
    <row r="97" spans="1:4" x14ac:dyDescent="0.3">
      <c r="A97" s="2">
        <v>43344</v>
      </c>
      <c r="B97" t="s">
        <v>19</v>
      </c>
      <c r="C97" t="s">
        <v>5</v>
      </c>
      <c r="D97">
        <v>56</v>
      </c>
    </row>
    <row r="98" spans="1:4" x14ac:dyDescent="0.3">
      <c r="A98" s="2">
        <v>43344</v>
      </c>
      <c r="B98" t="s">
        <v>19</v>
      </c>
      <c r="C98" t="s">
        <v>6</v>
      </c>
      <c r="D98">
        <v>42</v>
      </c>
    </row>
    <row r="99" spans="1:4" x14ac:dyDescent="0.3">
      <c r="A99" s="2">
        <v>43344</v>
      </c>
      <c r="B99" t="s">
        <v>19</v>
      </c>
      <c r="C99" t="s">
        <v>7</v>
      </c>
      <c r="D99">
        <v>52</v>
      </c>
    </row>
    <row r="100" spans="1:4" x14ac:dyDescent="0.3">
      <c r="A100" s="2">
        <v>43344</v>
      </c>
      <c r="B100" t="s">
        <v>19</v>
      </c>
      <c r="C100" t="s">
        <v>8</v>
      </c>
      <c r="D100">
        <v>23</v>
      </c>
    </row>
    <row r="101" spans="1:4" x14ac:dyDescent="0.3">
      <c r="A101" s="2">
        <v>43344</v>
      </c>
      <c r="B101" t="s">
        <v>19</v>
      </c>
      <c r="C101" t="s">
        <v>9</v>
      </c>
      <c r="D101">
        <v>41</v>
      </c>
    </row>
    <row r="102" spans="1:4" x14ac:dyDescent="0.3">
      <c r="A102" s="2">
        <v>43344</v>
      </c>
      <c r="B102" t="s">
        <v>19</v>
      </c>
      <c r="C102" t="s">
        <v>10</v>
      </c>
      <c r="D102">
        <v>84</v>
      </c>
    </row>
    <row r="103" spans="1:4" x14ac:dyDescent="0.3">
      <c r="A103" s="2">
        <v>43344</v>
      </c>
      <c r="B103" t="s">
        <v>19</v>
      </c>
      <c r="C103" t="s">
        <v>11</v>
      </c>
      <c r="D103">
        <v>66</v>
      </c>
    </row>
    <row r="104" spans="1:4" x14ac:dyDescent="0.3">
      <c r="A104" s="2">
        <v>43344</v>
      </c>
      <c r="B104" t="s">
        <v>19</v>
      </c>
      <c r="C104" t="s">
        <v>12</v>
      </c>
      <c r="D104">
        <v>59</v>
      </c>
    </row>
    <row r="105" spans="1:4" x14ac:dyDescent="0.3">
      <c r="A105" s="2">
        <v>43344</v>
      </c>
      <c r="B105" t="s">
        <v>19</v>
      </c>
      <c r="C105" t="s">
        <v>13</v>
      </c>
      <c r="D105">
        <v>51</v>
      </c>
    </row>
    <row r="106" spans="1:4" x14ac:dyDescent="0.3">
      <c r="A106" s="2">
        <v>43344</v>
      </c>
      <c r="B106" t="s">
        <v>19</v>
      </c>
      <c r="C106" t="s">
        <v>14</v>
      </c>
      <c r="D106">
        <v>60.5</v>
      </c>
    </row>
    <row r="107" spans="1:4" x14ac:dyDescent="0.3">
      <c r="A107" s="2">
        <v>43435</v>
      </c>
      <c r="B107" t="s">
        <v>20</v>
      </c>
      <c r="C107" t="s">
        <v>0</v>
      </c>
      <c r="D107">
        <v>62</v>
      </c>
    </row>
    <row r="108" spans="1:4" x14ac:dyDescent="0.3">
      <c r="A108" s="2">
        <v>43435</v>
      </c>
      <c r="B108" t="s">
        <v>20</v>
      </c>
      <c r="C108" t="s">
        <v>1</v>
      </c>
      <c r="D108">
        <v>87</v>
      </c>
    </row>
    <row r="109" spans="1:4" x14ac:dyDescent="0.3">
      <c r="A109" s="2">
        <v>43435</v>
      </c>
      <c r="B109" t="s">
        <v>20</v>
      </c>
      <c r="C109" t="s">
        <v>2</v>
      </c>
      <c r="D109">
        <v>109</v>
      </c>
    </row>
    <row r="110" spans="1:4" x14ac:dyDescent="0.3">
      <c r="A110" s="2">
        <v>43435</v>
      </c>
      <c r="B110" t="s">
        <v>20</v>
      </c>
      <c r="C110" t="s">
        <v>3</v>
      </c>
      <c r="D110">
        <v>95</v>
      </c>
    </row>
    <row r="111" spans="1:4" x14ac:dyDescent="0.3">
      <c r="A111" s="2">
        <v>43435</v>
      </c>
      <c r="B111" t="s">
        <v>20</v>
      </c>
      <c r="C111" t="s">
        <v>4</v>
      </c>
      <c r="D111">
        <v>17</v>
      </c>
    </row>
    <row r="112" spans="1:4" x14ac:dyDescent="0.3">
      <c r="A112" s="2">
        <v>43435</v>
      </c>
      <c r="B112" t="s">
        <v>20</v>
      </c>
      <c r="C112" t="s">
        <v>5</v>
      </c>
      <c r="D112">
        <v>66</v>
      </c>
    </row>
    <row r="113" spans="1:4" x14ac:dyDescent="0.3">
      <c r="A113" s="2">
        <v>43435</v>
      </c>
      <c r="B113" t="s">
        <v>20</v>
      </c>
      <c r="C113" t="s">
        <v>6</v>
      </c>
      <c r="D113">
        <v>44</v>
      </c>
    </row>
    <row r="114" spans="1:4" x14ac:dyDescent="0.3">
      <c r="A114" s="2">
        <v>43435</v>
      </c>
      <c r="B114" t="s">
        <v>20</v>
      </c>
      <c r="C114" t="s">
        <v>7</v>
      </c>
      <c r="D114">
        <v>60</v>
      </c>
    </row>
    <row r="115" spans="1:4" x14ac:dyDescent="0.3">
      <c r="A115" s="2">
        <v>43435</v>
      </c>
      <c r="B115" t="s">
        <v>20</v>
      </c>
      <c r="C115" t="s">
        <v>8</v>
      </c>
      <c r="D115">
        <v>48</v>
      </c>
    </row>
    <row r="116" spans="1:4" x14ac:dyDescent="0.3">
      <c r="A116" s="2">
        <v>43435</v>
      </c>
      <c r="B116" t="s">
        <v>20</v>
      </c>
      <c r="C116" t="s">
        <v>9</v>
      </c>
      <c r="D116">
        <v>37</v>
      </c>
    </row>
    <row r="117" spans="1:4" x14ac:dyDescent="0.3">
      <c r="A117" s="2">
        <v>43435</v>
      </c>
      <c r="B117" t="s">
        <v>20</v>
      </c>
      <c r="C117" t="s">
        <v>10</v>
      </c>
      <c r="D117">
        <v>81</v>
      </c>
    </row>
    <row r="118" spans="1:4" x14ac:dyDescent="0.3">
      <c r="A118" s="2">
        <v>43435</v>
      </c>
      <c r="B118" t="s">
        <v>20</v>
      </c>
      <c r="C118" t="s">
        <v>11</v>
      </c>
      <c r="D118">
        <v>59</v>
      </c>
    </row>
    <row r="119" spans="1:4" x14ac:dyDescent="0.3">
      <c r="A119" s="2">
        <v>43435</v>
      </c>
      <c r="B119" t="s">
        <v>20</v>
      </c>
      <c r="C119" t="s">
        <v>12</v>
      </c>
      <c r="D119">
        <v>64</v>
      </c>
    </row>
    <row r="120" spans="1:4" x14ac:dyDescent="0.3">
      <c r="A120" s="2">
        <v>43435</v>
      </c>
      <c r="B120" t="s">
        <v>20</v>
      </c>
      <c r="C120" t="s">
        <v>13</v>
      </c>
      <c r="D120">
        <v>46</v>
      </c>
    </row>
    <row r="121" spans="1:4" x14ac:dyDescent="0.3">
      <c r="A121" s="2">
        <v>43435</v>
      </c>
      <c r="B121" t="s">
        <v>20</v>
      </c>
      <c r="C121" t="s">
        <v>14</v>
      </c>
      <c r="D121">
        <v>62.5</v>
      </c>
    </row>
    <row r="122" spans="1:4" x14ac:dyDescent="0.3">
      <c r="A122" s="2">
        <v>43525</v>
      </c>
      <c r="B122" t="s">
        <v>16</v>
      </c>
      <c r="C122" t="s">
        <v>0</v>
      </c>
      <c r="D122">
        <v>68</v>
      </c>
    </row>
    <row r="123" spans="1:4" x14ac:dyDescent="0.3">
      <c r="A123" s="2">
        <v>43525</v>
      </c>
      <c r="B123" t="s">
        <v>16</v>
      </c>
      <c r="C123" t="s">
        <v>1</v>
      </c>
      <c r="D123">
        <v>93</v>
      </c>
    </row>
    <row r="124" spans="1:4" x14ac:dyDescent="0.3">
      <c r="A124" s="2">
        <v>43525</v>
      </c>
      <c r="B124" t="s">
        <v>16</v>
      </c>
      <c r="C124" t="s">
        <v>2</v>
      </c>
      <c r="D124">
        <v>94</v>
      </c>
    </row>
    <row r="125" spans="1:4" x14ac:dyDescent="0.3">
      <c r="A125" s="2">
        <v>43525</v>
      </c>
      <c r="B125" t="s">
        <v>16</v>
      </c>
      <c r="C125" t="s">
        <v>3</v>
      </c>
      <c r="D125">
        <v>126</v>
      </c>
    </row>
    <row r="126" spans="1:4" x14ac:dyDescent="0.3">
      <c r="A126" s="2">
        <v>43525</v>
      </c>
      <c r="B126" t="s">
        <v>16</v>
      </c>
      <c r="C126" t="s">
        <v>4</v>
      </c>
      <c r="D126">
        <v>21</v>
      </c>
    </row>
    <row r="127" spans="1:4" x14ac:dyDescent="0.3">
      <c r="A127" s="2">
        <v>43525</v>
      </c>
      <c r="B127" t="s">
        <v>16</v>
      </c>
      <c r="C127" t="s">
        <v>5</v>
      </c>
      <c r="D127">
        <v>83</v>
      </c>
    </row>
    <row r="128" spans="1:4" x14ac:dyDescent="0.3">
      <c r="A128" s="2">
        <v>43525</v>
      </c>
      <c r="B128" t="s">
        <v>16</v>
      </c>
      <c r="C128" t="s">
        <v>6</v>
      </c>
      <c r="D128">
        <v>65</v>
      </c>
    </row>
    <row r="129" spans="1:4" x14ac:dyDescent="0.3">
      <c r="A129" s="2">
        <v>43525</v>
      </c>
      <c r="B129" t="s">
        <v>16</v>
      </c>
      <c r="C129" t="s">
        <v>7</v>
      </c>
      <c r="D129">
        <v>66</v>
      </c>
    </row>
    <row r="130" spans="1:4" x14ac:dyDescent="0.3">
      <c r="A130" s="2">
        <v>43525</v>
      </c>
      <c r="B130" t="s">
        <v>16</v>
      </c>
      <c r="C130" t="s">
        <v>8</v>
      </c>
      <c r="D130">
        <v>38</v>
      </c>
    </row>
    <row r="131" spans="1:4" x14ac:dyDescent="0.3">
      <c r="A131" s="2">
        <v>43525</v>
      </c>
      <c r="B131" t="s">
        <v>16</v>
      </c>
      <c r="C131" t="s">
        <v>9</v>
      </c>
      <c r="D131">
        <v>63</v>
      </c>
    </row>
    <row r="132" spans="1:4" x14ac:dyDescent="0.3">
      <c r="A132" s="2">
        <v>43525</v>
      </c>
      <c r="B132" t="s">
        <v>16</v>
      </c>
      <c r="C132" t="s">
        <v>10</v>
      </c>
      <c r="D132">
        <v>89</v>
      </c>
    </row>
    <row r="133" spans="1:4" x14ac:dyDescent="0.3">
      <c r="A133" s="2">
        <v>43525</v>
      </c>
      <c r="B133" t="s">
        <v>16</v>
      </c>
      <c r="C133" t="s">
        <v>11</v>
      </c>
      <c r="D133">
        <v>66</v>
      </c>
    </row>
    <row r="134" spans="1:4" x14ac:dyDescent="0.3">
      <c r="A134" s="2">
        <v>43525</v>
      </c>
      <c r="B134" t="s">
        <v>16</v>
      </c>
      <c r="C134" t="s">
        <v>12</v>
      </c>
      <c r="D134">
        <v>59</v>
      </c>
    </row>
    <row r="135" spans="1:4" x14ac:dyDescent="0.3">
      <c r="A135" s="2">
        <v>43525</v>
      </c>
      <c r="B135" t="s">
        <v>16</v>
      </c>
      <c r="C135" t="s">
        <v>13</v>
      </c>
      <c r="D135">
        <v>66</v>
      </c>
    </row>
    <row r="136" spans="1:4" x14ac:dyDescent="0.3">
      <c r="A136" s="2">
        <v>43525</v>
      </c>
      <c r="B136" t="s">
        <v>16</v>
      </c>
      <c r="C136" t="s">
        <v>14</v>
      </c>
      <c r="D136">
        <v>71.214285714285708</v>
      </c>
    </row>
    <row r="137" spans="1:4" x14ac:dyDescent="0.3">
      <c r="A137" s="2">
        <v>43617</v>
      </c>
      <c r="B137" t="s">
        <v>18</v>
      </c>
      <c r="C137" t="s">
        <v>0</v>
      </c>
      <c r="D137">
        <v>61</v>
      </c>
    </row>
    <row r="138" spans="1:4" x14ac:dyDescent="0.3">
      <c r="A138" s="2">
        <v>43617</v>
      </c>
      <c r="B138" t="s">
        <v>18</v>
      </c>
      <c r="C138" t="s">
        <v>1</v>
      </c>
      <c r="D138">
        <v>96</v>
      </c>
    </row>
    <row r="139" spans="1:4" x14ac:dyDescent="0.3">
      <c r="A139" s="2">
        <v>43617</v>
      </c>
      <c r="B139" t="s">
        <v>18</v>
      </c>
      <c r="C139" t="s">
        <v>2</v>
      </c>
      <c r="D139">
        <v>104</v>
      </c>
    </row>
    <row r="140" spans="1:4" x14ac:dyDescent="0.3">
      <c r="A140" s="2">
        <v>43617</v>
      </c>
      <c r="B140" t="s">
        <v>18</v>
      </c>
      <c r="C140" t="s">
        <v>3</v>
      </c>
      <c r="D140">
        <v>133</v>
      </c>
    </row>
    <row r="141" spans="1:4" x14ac:dyDescent="0.3">
      <c r="A141" s="2">
        <v>43617</v>
      </c>
      <c r="B141" t="s">
        <v>18</v>
      </c>
      <c r="C141" t="s">
        <v>4</v>
      </c>
      <c r="D141">
        <v>13</v>
      </c>
    </row>
    <row r="142" spans="1:4" x14ac:dyDescent="0.3">
      <c r="A142" s="2">
        <v>43617</v>
      </c>
      <c r="B142" t="s">
        <v>18</v>
      </c>
      <c r="C142" t="s">
        <v>5</v>
      </c>
      <c r="D142">
        <v>79</v>
      </c>
    </row>
    <row r="143" spans="1:4" x14ac:dyDescent="0.3">
      <c r="A143" s="2">
        <v>43617</v>
      </c>
      <c r="B143" t="s">
        <v>18</v>
      </c>
      <c r="C143" t="s">
        <v>6</v>
      </c>
      <c r="D143">
        <v>80</v>
      </c>
    </row>
    <row r="144" spans="1:4" x14ac:dyDescent="0.3">
      <c r="A144" s="2">
        <v>43617</v>
      </c>
      <c r="B144" t="s">
        <v>18</v>
      </c>
      <c r="C144" t="s">
        <v>7</v>
      </c>
      <c r="D144">
        <v>47</v>
      </c>
    </row>
    <row r="145" spans="1:4" x14ac:dyDescent="0.3">
      <c r="A145" s="2">
        <v>43617</v>
      </c>
      <c r="B145" t="s">
        <v>18</v>
      </c>
      <c r="C145" t="s">
        <v>8</v>
      </c>
      <c r="D145">
        <v>24</v>
      </c>
    </row>
    <row r="146" spans="1:4" x14ac:dyDescent="0.3">
      <c r="A146" s="2">
        <v>43617</v>
      </c>
      <c r="B146" t="s">
        <v>18</v>
      </c>
      <c r="C146" t="s">
        <v>9</v>
      </c>
      <c r="D146">
        <v>49</v>
      </c>
    </row>
    <row r="147" spans="1:4" x14ac:dyDescent="0.3">
      <c r="A147" s="2">
        <v>43617</v>
      </c>
      <c r="B147" t="s">
        <v>18</v>
      </c>
      <c r="C147" t="s">
        <v>10</v>
      </c>
      <c r="D147">
        <v>70</v>
      </c>
    </row>
    <row r="148" spans="1:4" x14ac:dyDescent="0.3">
      <c r="A148" s="2">
        <v>43617</v>
      </c>
      <c r="B148" t="s">
        <v>18</v>
      </c>
      <c r="C148" t="s">
        <v>11</v>
      </c>
      <c r="D148">
        <v>65</v>
      </c>
    </row>
    <row r="149" spans="1:4" x14ac:dyDescent="0.3">
      <c r="A149" s="2">
        <v>43617</v>
      </c>
      <c r="B149" t="s">
        <v>18</v>
      </c>
      <c r="C149" t="s">
        <v>12</v>
      </c>
      <c r="D149">
        <v>68</v>
      </c>
    </row>
    <row r="150" spans="1:4" x14ac:dyDescent="0.3">
      <c r="A150" s="2">
        <v>43617</v>
      </c>
      <c r="B150" t="s">
        <v>18</v>
      </c>
      <c r="C150" t="s">
        <v>13</v>
      </c>
      <c r="D150">
        <v>57</v>
      </c>
    </row>
    <row r="151" spans="1:4" x14ac:dyDescent="0.3">
      <c r="A151" s="2">
        <v>43617</v>
      </c>
      <c r="B151" t="s">
        <v>18</v>
      </c>
      <c r="C151" t="s">
        <v>14</v>
      </c>
      <c r="D151">
        <v>67.571428571428569</v>
      </c>
    </row>
    <row r="152" spans="1:4" x14ac:dyDescent="0.3">
      <c r="A152" s="2">
        <v>43709</v>
      </c>
      <c r="B152" t="s">
        <v>19</v>
      </c>
      <c r="C152" t="s">
        <v>0</v>
      </c>
      <c r="D152">
        <v>54</v>
      </c>
    </row>
    <row r="153" spans="1:4" x14ac:dyDescent="0.3">
      <c r="A153" s="2">
        <v>43709</v>
      </c>
      <c r="B153" t="s">
        <v>19</v>
      </c>
      <c r="C153" t="s">
        <v>1</v>
      </c>
      <c r="D153">
        <v>103</v>
      </c>
    </row>
    <row r="154" spans="1:4" x14ac:dyDescent="0.3">
      <c r="A154" s="2">
        <v>43709</v>
      </c>
      <c r="B154" t="s">
        <v>19</v>
      </c>
      <c r="C154" t="s">
        <v>2</v>
      </c>
      <c r="D154">
        <v>88</v>
      </c>
    </row>
    <row r="155" spans="1:4" x14ac:dyDescent="0.3">
      <c r="A155" s="2">
        <v>43709</v>
      </c>
      <c r="B155" t="s">
        <v>19</v>
      </c>
      <c r="C155" t="s">
        <v>3</v>
      </c>
      <c r="D155">
        <v>105</v>
      </c>
    </row>
    <row r="156" spans="1:4" x14ac:dyDescent="0.3">
      <c r="A156" s="2">
        <v>43709</v>
      </c>
      <c r="B156" t="s">
        <v>19</v>
      </c>
      <c r="C156" t="s">
        <v>4</v>
      </c>
      <c r="D156">
        <v>22</v>
      </c>
    </row>
    <row r="157" spans="1:4" x14ac:dyDescent="0.3">
      <c r="A157" s="2">
        <v>43709</v>
      </c>
      <c r="B157" t="s">
        <v>19</v>
      </c>
      <c r="C157" t="s">
        <v>5</v>
      </c>
      <c r="D157">
        <v>66</v>
      </c>
    </row>
    <row r="158" spans="1:4" x14ac:dyDescent="0.3">
      <c r="A158" s="2">
        <v>43709</v>
      </c>
      <c r="B158" t="s">
        <v>19</v>
      </c>
      <c r="C158" t="s">
        <v>6</v>
      </c>
      <c r="D158">
        <v>37</v>
      </c>
    </row>
    <row r="159" spans="1:4" x14ac:dyDescent="0.3">
      <c r="A159" s="2">
        <v>43709</v>
      </c>
      <c r="B159" t="s">
        <v>19</v>
      </c>
      <c r="C159" t="s">
        <v>7</v>
      </c>
      <c r="D159">
        <v>63</v>
      </c>
    </row>
    <row r="160" spans="1:4" x14ac:dyDescent="0.3">
      <c r="A160" s="2">
        <v>43709</v>
      </c>
      <c r="B160" t="s">
        <v>19</v>
      </c>
      <c r="C160" t="s">
        <v>8</v>
      </c>
      <c r="D160">
        <v>26</v>
      </c>
    </row>
    <row r="161" spans="1:4" x14ac:dyDescent="0.3">
      <c r="A161" s="2">
        <v>43709</v>
      </c>
      <c r="B161" t="s">
        <v>19</v>
      </c>
      <c r="C161" t="s">
        <v>9</v>
      </c>
      <c r="D161">
        <v>52</v>
      </c>
    </row>
    <row r="162" spans="1:4" x14ac:dyDescent="0.3">
      <c r="A162" s="2">
        <v>43709</v>
      </c>
      <c r="B162" t="s">
        <v>19</v>
      </c>
      <c r="C162" t="s">
        <v>10</v>
      </c>
      <c r="D162">
        <v>66</v>
      </c>
    </row>
    <row r="163" spans="1:4" x14ac:dyDescent="0.3">
      <c r="A163" s="2">
        <v>43709</v>
      </c>
      <c r="B163" t="s">
        <v>19</v>
      </c>
      <c r="C163" t="s">
        <v>11</v>
      </c>
      <c r="D163">
        <v>55</v>
      </c>
    </row>
    <row r="164" spans="1:4" x14ac:dyDescent="0.3">
      <c r="A164" s="2">
        <v>43709</v>
      </c>
      <c r="B164" t="s">
        <v>19</v>
      </c>
      <c r="C164" t="s">
        <v>12</v>
      </c>
      <c r="D164">
        <v>51</v>
      </c>
    </row>
    <row r="165" spans="1:4" x14ac:dyDescent="0.3">
      <c r="A165" s="2">
        <v>43709</v>
      </c>
      <c r="B165" t="s">
        <v>19</v>
      </c>
      <c r="C165" t="s">
        <v>13</v>
      </c>
      <c r="D165">
        <v>69</v>
      </c>
    </row>
    <row r="166" spans="1:4" x14ac:dyDescent="0.3">
      <c r="A166" s="2">
        <v>43709</v>
      </c>
      <c r="B166" t="s">
        <v>19</v>
      </c>
      <c r="C166" t="s">
        <v>14</v>
      </c>
      <c r="D166">
        <v>61.214285714285715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1E57-7656-4ACB-9C47-44F58B1CC040}">
  <dimension ref="A1:Q12"/>
  <sheetViews>
    <sheetView tabSelected="1" workbookViewId="0">
      <selection activeCell="C1" sqref="C1:Q12"/>
    </sheetView>
  </sheetViews>
  <sheetFormatPr defaultRowHeight="14.4" x14ac:dyDescent="0.3"/>
  <cols>
    <col min="2" max="2" width="9.33203125" customWidth="1"/>
    <col min="3" max="3" width="10" customWidth="1"/>
    <col min="4" max="4" width="9.6640625" customWidth="1"/>
    <col min="5" max="5" width="10.44140625" customWidth="1"/>
    <col min="6" max="6" width="10.88671875" customWidth="1"/>
    <col min="7" max="7" width="14.6640625" customWidth="1"/>
    <col min="9" max="9" width="9.44140625" customWidth="1"/>
    <col min="12" max="12" width="11.6640625" customWidth="1"/>
    <col min="14" max="14" width="13" customWidth="1"/>
    <col min="15" max="15" width="11.88671875" customWidth="1"/>
    <col min="16" max="16" width="12" customWidth="1"/>
    <col min="17" max="17" width="15.6640625" customWidth="1"/>
  </cols>
  <sheetData>
    <row r="1" spans="1:17" x14ac:dyDescent="0.3">
      <c r="A1" t="s">
        <v>15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 s="1">
        <v>42795</v>
      </c>
      <c r="B2" t="s">
        <v>16</v>
      </c>
      <c r="C2">
        <v>69</v>
      </c>
      <c r="D2">
        <v>130</v>
      </c>
      <c r="E2">
        <v>85</v>
      </c>
      <c r="F2">
        <v>117</v>
      </c>
      <c r="G2">
        <v>16</v>
      </c>
      <c r="H2">
        <v>74</v>
      </c>
      <c r="I2">
        <v>61</v>
      </c>
      <c r="J2">
        <v>51</v>
      </c>
      <c r="K2">
        <v>35</v>
      </c>
      <c r="L2">
        <v>65</v>
      </c>
      <c r="M2">
        <v>93</v>
      </c>
      <c r="N2">
        <v>72</v>
      </c>
      <c r="O2">
        <v>83</v>
      </c>
      <c r="P2">
        <v>83</v>
      </c>
      <c r="Q2">
        <f t="shared" ref="Q2:Q12" si="0">AVERAGE(C2:P2)</f>
        <v>73.857142857142861</v>
      </c>
    </row>
    <row r="3" spans="1:17" x14ac:dyDescent="0.3">
      <c r="A3" s="1">
        <v>42887</v>
      </c>
      <c r="B3" t="s">
        <v>18</v>
      </c>
      <c r="C3">
        <v>77</v>
      </c>
      <c r="D3">
        <v>86</v>
      </c>
      <c r="E3">
        <v>97</v>
      </c>
      <c r="F3">
        <v>107</v>
      </c>
      <c r="G3">
        <v>17</v>
      </c>
      <c r="H3">
        <v>71</v>
      </c>
      <c r="I3">
        <v>55</v>
      </c>
      <c r="J3">
        <v>61</v>
      </c>
      <c r="K3">
        <v>32</v>
      </c>
      <c r="L3">
        <v>55</v>
      </c>
      <c r="M3">
        <v>89</v>
      </c>
      <c r="N3">
        <v>64</v>
      </c>
      <c r="O3">
        <v>73</v>
      </c>
      <c r="P3">
        <v>79</v>
      </c>
      <c r="Q3">
        <f t="shared" si="0"/>
        <v>68.785714285714292</v>
      </c>
    </row>
    <row r="4" spans="1:17" x14ac:dyDescent="0.3">
      <c r="A4" s="1">
        <v>42979</v>
      </c>
      <c r="B4" t="s">
        <v>19</v>
      </c>
      <c r="C4">
        <v>63</v>
      </c>
      <c r="D4">
        <v>90</v>
      </c>
      <c r="E4">
        <v>92</v>
      </c>
      <c r="F4">
        <v>127</v>
      </c>
      <c r="G4">
        <v>18</v>
      </c>
      <c r="H4">
        <v>68</v>
      </c>
      <c r="I4">
        <v>55</v>
      </c>
      <c r="J4">
        <v>67</v>
      </c>
      <c r="K4">
        <v>32</v>
      </c>
      <c r="L4">
        <v>59</v>
      </c>
      <c r="M4">
        <v>79</v>
      </c>
      <c r="N4">
        <v>58</v>
      </c>
      <c r="O4">
        <v>73</v>
      </c>
      <c r="P4">
        <v>81</v>
      </c>
      <c r="Q4">
        <f t="shared" si="0"/>
        <v>68.714285714285708</v>
      </c>
    </row>
    <row r="5" spans="1:17" x14ac:dyDescent="0.3">
      <c r="A5" s="1">
        <v>43070</v>
      </c>
      <c r="B5" t="s">
        <v>20</v>
      </c>
      <c r="C5">
        <v>61</v>
      </c>
      <c r="D5">
        <v>100</v>
      </c>
      <c r="E5">
        <v>95</v>
      </c>
      <c r="F5">
        <v>132</v>
      </c>
      <c r="G5">
        <v>21</v>
      </c>
      <c r="H5">
        <v>72</v>
      </c>
      <c r="I5">
        <v>72</v>
      </c>
      <c r="J5">
        <v>51</v>
      </c>
      <c r="K5">
        <v>49</v>
      </c>
      <c r="L5">
        <v>53</v>
      </c>
      <c r="M5">
        <v>82</v>
      </c>
      <c r="N5">
        <v>77</v>
      </c>
      <c r="O5">
        <v>85</v>
      </c>
      <c r="P5">
        <v>75</v>
      </c>
      <c r="Q5">
        <f t="shared" si="0"/>
        <v>73.214285714285708</v>
      </c>
    </row>
    <row r="6" spans="1:17" x14ac:dyDescent="0.3">
      <c r="A6" s="1">
        <v>43160</v>
      </c>
      <c r="B6" t="s">
        <v>16</v>
      </c>
      <c r="C6">
        <v>67</v>
      </c>
      <c r="D6">
        <v>106</v>
      </c>
      <c r="E6">
        <v>92</v>
      </c>
      <c r="F6">
        <v>145</v>
      </c>
      <c r="G6">
        <v>21</v>
      </c>
      <c r="H6">
        <v>69</v>
      </c>
      <c r="I6">
        <v>79</v>
      </c>
      <c r="J6">
        <v>51</v>
      </c>
      <c r="K6">
        <v>49</v>
      </c>
      <c r="L6">
        <v>59</v>
      </c>
      <c r="M6">
        <v>94</v>
      </c>
      <c r="N6">
        <v>87</v>
      </c>
      <c r="O6">
        <v>87</v>
      </c>
      <c r="P6">
        <v>79</v>
      </c>
      <c r="Q6">
        <f t="shared" si="0"/>
        <v>77.5</v>
      </c>
    </row>
    <row r="7" spans="1:17" x14ac:dyDescent="0.3">
      <c r="A7" s="1">
        <v>43252</v>
      </c>
      <c r="B7" t="s">
        <v>18</v>
      </c>
      <c r="C7">
        <v>67</v>
      </c>
      <c r="D7">
        <v>91</v>
      </c>
      <c r="E7">
        <v>83</v>
      </c>
      <c r="F7">
        <v>112</v>
      </c>
      <c r="G7">
        <v>17</v>
      </c>
      <c r="H7">
        <v>71</v>
      </c>
      <c r="I7">
        <v>60</v>
      </c>
      <c r="J7">
        <v>66</v>
      </c>
      <c r="K7">
        <v>42</v>
      </c>
      <c r="L7">
        <v>52</v>
      </c>
      <c r="M7">
        <v>83</v>
      </c>
      <c r="N7">
        <v>70</v>
      </c>
      <c r="O7">
        <v>54</v>
      </c>
      <c r="P7">
        <v>72</v>
      </c>
      <c r="Q7">
        <f t="shared" si="0"/>
        <v>67.142857142857139</v>
      </c>
    </row>
    <row r="8" spans="1:17" x14ac:dyDescent="0.3">
      <c r="A8" s="1">
        <v>43344</v>
      </c>
      <c r="B8" t="s">
        <v>19</v>
      </c>
      <c r="C8">
        <v>57</v>
      </c>
      <c r="D8">
        <v>89</v>
      </c>
      <c r="E8">
        <v>103</v>
      </c>
      <c r="F8">
        <v>107</v>
      </c>
      <c r="G8">
        <v>17</v>
      </c>
      <c r="H8">
        <v>56</v>
      </c>
      <c r="I8">
        <v>42</v>
      </c>
      <c r="J8">
        <v>52</v>
      </c>
      <c r="K8">
        <v>23</v>
      </c>
      <c r="L8">
        <v>41</v>
      </c>
      <c r="M8">
        <v>84</v>
      </c>
      <c r="N8">
        <v>66</v>
      </c>
      <c r="O8">
        <v>59</v>
      </c>
      <c r="P8">
        <v>51</v>
      </c>
      <c r="Q8">
        <f t="shared" si="0"/>
        <v>60.5</v>
      </c>
    </row>
    <row r="9" spans="1:17" x14ac:dyDescent="0.3">
      <c r="A9" s="1">
        <v>43435</v>
      </c>
      <c r="B9" t="s">
        <v>20</v>
      </c>
      <c r="C9">
        <v>62</v>
      </c>
      <c r="D9">
        <v>87</v>
      </c>
      <c r="E9">
        <v>109</v>
      </c>
      <c r="F9">
        <v>95</v>
      </c>
      <c r="G9">
        <v>17</v>
      </c>
      <c r="H9">
        <v>66</v>
      </c>
      <c r="I9">
        <v>44</v>
      </c>
      <c r="J9">
        <v>60</v>
      </c>
      <c r="K9">
        <v>48</v>
      </c>
      <c r="L9">
        <v>37</v>
      </c>
      <c r="M9">
        <v>81</v>
      </c>
      <c r="N9">
        <v>59</v>
      </c>
      <c r="O9">
        <v>64</v>
      </c>
      <c r="P9">
        <v>46</v>
      </c>
      <c r="Q9">
        <f t="shared" si="0"/>
        <v>62.5</v>
      </c>
    </row>
    <row r="10" spans="1:17" x14ac:dyDescent="0.3">
      <c r="A10" s="1">
        <v>43525</v>
      </c>
      <c r="B10" t="s">
        <v>16</v>
      </c>
      <c r="C10">
        <v>68</v>
      </c>
      <c r="D10">
        <v>93</v>
      </c>
      <c r="E10">
        <v>94</v>
      </c>
      <c r="F10">
        <v>126</v>
      </c>
      <c r="G10">
        <v>21</v>
      </c>
      <c r="H10">
        <v>83</v>
      </c>
      <c r="I10">
        <v>65</v>
      </c>
      <c r="J10">
        <v>66</v>
      </c>
      <c r="K10">
        <v>38</v>
      </c>
      <c r="L10">
        <v>63</v>
      </c>
      <c r="M10">
        <v>89</v>
      </c>
      <c r="N10">
        <v>66</v>
      </c>
      <c r="O10">
        <v>59</v>
      </c>
      <c r="P10">
        <v>66</v>
      </c>
      <c r="Q10">
        <f t="shared" si="0"/>
        <v>71.214285714285708</v>
      </c>
    </row>
    <row r="11" spans="1:17" x14ac:dyDescent="0.3">
      <c r="A11" s="1">
        <v>43617</v>
      </c>
      <c r="B11" t="s">
        <v>18</v>
      </c>
      <c r="C11">
        <v>61</v>
      </c>
      <c r="D11">
        <v>96</v>
      </c>
      <c r="E11">
        <v>104</v>
      </c>
      <c r="F11">
        <v>133</v>
      </c>
      <c r="G11">
        <v>13</v>
      </c>
      <c r="H11">
        <v>79</v>
      </c>
      <c r="I11">
        <v>80</v>
      </c>
      <c r="J11">
        <v>47</v>
      </c>
      <c r="K11">
        <v>24</v>
      </c>
      <c r="L11">
        <v>49</v>
      </c>
      <c r="M11">
        <v>70</v>
      </c>
      <c r="N11">
        <v>65</v>
      </c>
      <c r="O11">
        <v>68</v>
      </c>
      <c r="P11">
        <v>57</v>
      </c>
      <c r="Q11">
        <f t="shared" si="0"/>
        <v>67.571428571428569</v>
      </c>
    </row>
    <row r="12" spans="1:17" x14ac:dyDescent="0.3">
      <c r="A12" s="1">
        <v>43709</v>
      </c>
      <c r="B12" t="s">
        <v>19</v>
      </c>
      <c r="C12">
        <v>54</v>
      </c>
      <c r="D12">
        <v>103</v>
      </c>
      <c r="E12">
        <v>88</v>
      </c>
      <c r="F12">
        <v>105</v>
      </c>
      <c r="G12">
        <v>22</v>
      </c>
      <c r="H12">
        <v>66</v>
      </c>
      <c r="I12">
        <v>37</v>
      </c>
      <c r="J12">
        <v>63</v>
      </c>
      <c r="K12">
        <v>26</v>
      </c>
      <c r="L12">
        <v>52</v>
      </c>
      <c r="M12">
        <v>66</v>
      </c>
      <c r="N12">
        <v>55</v>
      </c>
      <c r="O12">
        <v>51</v>
      </c>
      <c r="P12">
        <v>69</v>
      </c>
      <c r="Q12">
        <f t="shared" si="0"/>
        <v>61.214285714285715</v>
      </c>
    </row>
  </sheetData>
  <sortState xmlns:xlrd2="http://schemas.microsoft.com/office/spreadsheetml/2017/richdata2" ref="A2:Q13">
    <sortCondition ref="A2:A13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862D7-DDFD-4928-B36B-45FD73038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Wide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Rafique, Hassan</dc:creator>
  <cp:lastModifiedBy>Rafique, Hassan</cp:lastModifiedBy>
  <dcterms:created xsi:type="dcterms:W3CDTF">2023-09-15T21:51:20Z</dcterms:created>
  <dcterms:modified xsi:type="dcterms:W3CDTF">2024-09-23T12:55:06Z</dcterms:modified>
</cp:coreProperties>
</file>